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Sheet1!$A$6:$M$27</definedName>
  </definedNames>
  <calcPr/>
</workbook>
</file>

<file path=xl/sharedStrings.xml><?xml version="1.0" encoding="utf-8"?>
<sst xmlns="http://schemas.openxmlformats.org/spreadsheetml/2006/main" count="47" uniqueCount="21">
  <si>
    <t>ticket</t>
  </si>
  <si>
    <t>plafond</t>
  </si>
  <si>
    <t>item</t>
  </si>
  <si>
    <t>montant plafond</t>
  </si>
  <si>
    <t>Num_Ticket</t>
  </si>
  <si>
    <t>mvt</t>
  </si>
  <si>
    <t>valeur</t>
  </si>
  <si>
    <t>mode_reouverture</t>
  </si>
  <si>
    <t>est reouverture</t>
  </si>
  <si>
    <t>etat_retablir</t>
  </si>
  <si>
    <t>cout entrer</t>
  </si>
  <si>
    <t>cout correct pris</t>
  </si>
  <si>
    <t>cout saisi total</t>
  </si>
  <si>
    <t>nombre cout saisie</t>
  </si>
  <si>
    <t>montant restant</t>
  </si>
  <si>
    <t>close</t>
  </si>
  <si>
    <t>open</t>
  </si>
  <si>
    <t>glpi</t>
  </si>
  <si>
    <t>super cost</t>
  </si>
  <si>
    <t>reouverture</t>
  </si>
  <si>
    <t>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</si>
</sst>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Times New Roman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A933"/>
        <bgColor rgb="FF00A93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B4C7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0" fillId="5" fontId="1" numFmtId="0" xfId="0" applyAlignment="1" applyFont="1">
      <alignment readingOrder="0" shrinkToFit="0" vertical="center" wrapText="0"/>
    </xf>
    <xf borderId="1" fillId="6" fontId="3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M27" displayName="Table1" name="Table1" id="1">
  <autoFilter ref="$A$6:$M$27">
    <filterColumn colId="0">
      <filters>
        <filter val="2"/>
      </filters>
    </filterColumn>
  </autoFilter>
  <tableColumns count="13">
    <tableColumn name="Num_Ticket" id="1"/>
    <tableColumn name="item" id="2"/>
    <tableColumn name="mvt" id="3"/>
    <tableColumn name="valeur" id="4"/>
    <tableColumn name="mode_reouverture" id="5"/>
    <tableColumn name="est reouverture" id="6"/>
    <tableColumn name="etat_retablir" id="7"/>
    <tableColumn name="cout entrer" id="8"/>
    <tableColumn name="cout correct pris" id="9"/>
    <tableColumn name="cout saisi total" id="10"/>
    <tableColumn name="nombre cout saisie" id="11"/>
    <tableColumn name="montant plafond" id="12"/>
    <tableColumn name="montant restant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2.0"/>
    <col customWidth="1" min="3" max="3" width="16.0"/>
    <col customWidth="1" min="4" max="4" width="17.75"/>
    <col customWidth="1" min="5" max="5" width="19.63"/>
    <col customWidth="1" min="6" max="6" width="19.88"/>
    <col customWidth="1" min="7" max="8" width="16.75"/>
    <col customWidth="1" min="9" max="9" width="20.63"/>
    <col customWidth="1" min="10" max="10" width="19.63"/>
    <col customWidth="1" min="11" max="11" width="22.88"/>
    <col customWidth="1" min="12" max="12" width="21.0"/>
    <col customWidth="1" min="13" max="13" width="20.63"/>
    <col customWidth="1" min="14" max="26" width="8.63"/>
  </cols>
  <sheetData>
    <row r="1" ht="12.75" customHeight="1">
      <c r="A1" s="1" t="s">
        <v>0</v>
      </c>
      <c r="B1" s="1">
        <v>2.0</v>
      </c>
      <c r="D1" s="2" t="s">
        <v>1</v>
      </c>
      <c r="E1" s="1">
        <v>25.0</v>
      </c>
    </row>
    <row r="2" ht="12.75" customHeight="1">
      <c r="A2" s="1" t="s">
        <v>2</v>
      </c>
      <c r="B2" s="1">
        <v>1.0</v>
      </c>
      <c r="D2" s="1" t="s">
        <v>3</v>
      </c>
      <c r="I2" s="3"/>
    </row>
    <row r="3" ht="12.75" customHeight="1">
      <c r="A3" s="1" t="s">
        <v>2</v>
      </c>
      <c r="B3" s="1">
        <v>2.0</v>
      </c>
      <c r="I3" s="3"/>
    </row>
    <row r="4" ht="12.75" customHeight="1">
      <c r="I4" s="3"/>
    </row>
    <row r="5" ht="12.75" customHeight="1">
      <c r="I5" s="3"/>
    </row>
    <row r="6" ht="12.75" customHeight="1">
      <c r="A6" s="4" t="s">
        <v>4</v>
      </c>
      <c r="B6" s="5" t="s">
        <v>2</v>
      </c>
      <c r="C6" s="4" t="s">
        <v>5</v>
      </c>
      <c r="D6" s="4" t="s">
        <v>6</v>
      </c>
      <c r="E6" s="4" t="s">
        <v>7</v>
      </c>
      <c r="F6" s="5" t="s">
        <v>8</v>
      </c>
      <c r="G6" s="6" t="s">
        <v>9</v>
      </c>
      <c r="H6" s="5" t="s">
        <v>10</v>
      </c>
      <c r="I6" s="7" t="s">
        <v>11</v>
      </c>
      <c r="J6" s="5" t="s">
        <v>12</v>
      </c>
      <c r="K6" s="5" t="s">
        <v>13</v>
      </c>
      <c r="L6" s="5" t="s">
        <v>3</v>
      </c>
      <c r="M6" s="5" t="s">
        <v>14</v>
      </c>
    </row>
    <row r="7" ht="12.75" hidden="1" customHeight="1">
      <c r="A7" s="8">
        <v>1.0</v>
      </c>
      <c r="B7" s="9">
        <v>1.0</v>
      </c>
      <c r="C7" s="2" t="s">
        <v>15</v>
      </c>
      <c r="D7" s="10">
        <v>50.0</v>
      </c>
      <c r="E7" s="10">
        <v>0.0</v>
      </c>
      <c r="F7" s="10">
        <v>0.0</v>
      </c>
      <c r="G7" s="10">
        <v>1.0</v>
      </c>
      <c r="H7" s="10">
        <f t="shared" ref="H7:H9" si="1">D7</f>
        <v>50</v>
      </c>
      <c r="I7" s="11">
        <v>50.0</v>
      </c>
      <c r="J7" s="10">
        <f>$D$7</f>
        <v>50</v>
      </c>
      <c r="K7" s="10">
        <v>1.0</v>
      </c>
      <c r="L7" s="10">
        <f>($D$7*$G$7)*$E$1/100</f>
        <v>12.5</v>
      </c>
      <c r="M7" s="10">
        <f t="shared" ref="M7:M8" si="2">I7*$E$1/100</f>
        <v>12.5</v>
      </c>
    </row>
    <row r="8" ht="12.75" customHeight="1">
      <c r="A8" s="8">
        <v>2.0</v>
      </c>
      <c r="B8" s="9">
        <v>1.0</v>
      </c>
      <c r="C8" s="2" t="s">
        <v>15</v>
      </c>
      <c r="D8" s="10">
        <f>150/2</f>
        <v>75</v>
      </c>
      <c r="E8" s="10">
        <v>0.0</v>
      </c>
      <c r="F8" s="10">
        <v>0.0</v>
      </c>
      <c r="G8" s="10">
        <v>1.0</v>
      </c>
      <c r="H8" s="10">
        <f t="shared" si="1"/>
        <v>75</v>
      </c>
      <c r="I8" s="11">
        <v>75.0</v>
      </c>
      <c r="J8" s="10">
        <f>$D$8</f>
        <v>75</v>
      </c>
      <c r="K8" s="10">
        <v>1.0</v>
      </c>
      <c r="L8" s="10">
        <f>($D$8*$G$8)*$E$1/100</f>
        <v>18.75</v>
      </c>
      <c r="M8" s="10">
        <f t="shared" si="2"/>
        <v>18.75</v>
      </c>
    </row>
    <row r="9" ht="12.75" customHeight="1">
      <c r="A9" s="8">
        <v>2.0</v>
      </c>
      <c r="B9" s="9">
        <v>2.0</v>
      </c>
      <c r="C9" s="2" t="s">
        <v>15</v>
      </c>
      <c r="D9" s="10">
        <v>75.0</v>
      </c>
      <c r="E9" s="10">
        <v>0.0</v>
      </c>
      <c r="F9" s="10">
        <v>0.0</v>
      </c>
      <c r="G9" s="10">
        <v>1.0</v>
      </c>
      <c r="H9" s="10">
        <f t="shared" si="1"/>
        <v>75</v>
      </c>
      <c r="I9" s="11">
        <v>75.0</v>
      </c>
      <c r="J9" s="10">
        <f>$D$9</f>
        <v>75</v>
      </c>
      <c r="K9" s="10">
        <v>1.0</v>
      </c>
      <c r="L9" s="10">
        <f>($D$8*$G$9)*$E$1/100</f>
        <v>18.75</v>
      </c>
      <c r="M9" s="10">
        <f>(L9-(I9*F9))</f>
        <v>18.75</v>
      </c>
    </row>
    <row r="10" ht="12.75" hidden="1" customHeight="1">
      <c r="A10" s="8">
        <v>1.0</v>
      </c>
      <c r="B10" s="9">
        <v>1.0</v>
      </c>
      <c r="C10" s="12" t="s">
        <v>16</v>
      </c>
      <c r="D10" s="10">
        <v>5.0</v>
      </c>
      <c r="E10" s="10">
        <v>1.0</v>
      </c>
      <c r="F10" s="10">
        <v>1.0</v>
      </c>
      <c r="G10" s="10">
        <v>1.0</v>
      </c>
      <c r="H10" s="10">
        <f>D10*D7/100</f>
        <v>2.5</v>
      </c>
      <c r="I10" s="11">
        <v>2.5</v>
      </c>
      <c r="J10" s="10">
        <f>$D$7</f>
        <v>50</v>
      </c>
      <c r="K10" s="10">
        <v>1.0</v>
      </c>
      <c r="L10" s="10">
        <f>($D$7*$G$7)*$E$1/100</f>
        <v>12.5</v>
      </c>
      <c r="M10" s="10">
        <f>L10-I10</f>
        <v>10</v>
      </c>
    </row>
    <row r="11" ht="12.75" hidden="1" customHeight="1">
      <c r="A11" s="8">
        <v>1.0</v>
      </c>
      <c r="B11" s="9">
        <v>1.0</v>
      </c>
      <c r="C11" s="2" t="s">
        <v>15</v>
      </c>
      <c r="D11" s="13">
        <v>52.0</v>
      </c>
      <c r="E11" s="10">
        <v>0.0</v>
      </c>
      <c r="F11" s="10">
        <v>0.0</v>
      </c>
      <c r="G11" s="10">
        <v>1.0</v>
      </c>
      <c r="H11" s="10">
        <f>D11</f>
        <v>52</v>
      </c>
      <c r="I11" s="14">
        <v>52.0</v>
      </c>
      <c r="J11" s="10">
        <f t="shared" ref="J11:J12" si="3">$D$7+$I$11</f>
        <v>102</v>
      </c>
      <c r="K11" s="10">
        <v>2.0</v>
      </c>
      <c r="L11" s="10">
        <f t="shared" ref="L11:L12" si="4">($D$7+$D$11)*$E$1/100</f>
        <v>25.5</v>
      </c>
      <c r="M11" s="10">
        <f>L11-I10</f>
        <v>23</v>
      </c>
    </row>
    <row r="12" ht="12.75" hidden="1" customHeight="1">
      <c r="A12" s="8">
        <v>1.0</v>
      </c>
      <c r="B12" s="9">
        <v>1.0</v>
      </c>
      <c r="C12" s="12" t="s">
        <v>16</v>
      </c>
      <c r="D12" s="10">
        <v>30.0</v>
      </c>
      <c r="E12" s="10">
        <v>4.0</v>
      </c>
      <c r="F12" s="10">
        <v>1.0</v>
      </c>
      <c r="G12" s="10">
        <v>1.0</v>
      </c>
      <c r="H12" s="10">
        <f>J12*D12/100</f>
        <v>30.6</v>
      </c>
      <c r="I12" s="15">
        <f>30.6-7.6</f>
        <v>23</v>
      </c>
      <c r="J12" s="10">
        <f t="shared" si="3"/>
        <v>102</v>
      </c>
      <c r="K12" s="10">
        <v>2.0</v>
      </c>
      <c r="L12" s="10">
        <f t="shared" si="4"/>
        <v>25.5</v>
      </c>
      <c r="M12" s="10">
        <f>M11-I12</f>
        <v>0</v>
      </c>
    </row>
    <row r="13" ht="12.75" customHeight="1">
      <c r="A13" s="8">
        <v>2.0</v>
      </c>
      <c r="B13" s="9">
        <v>1.0</v>
      </c>
      <c r="C13" s="12" t="s">
        <v>16</v>
      </c>
      <c r="D13" s="10">
        <v>10.0</v>
      </c>
      <c r="E13" s="10">
        <v>3.0</v>
      </c>
      <c r="F13" s="10">
        <v>1.0</v>
      </c>
      <c r="G13" s="10">
        <v>1.0</v>
      </c>
      <c r="H13" s="10">
        <f t="shared" ref="H13:H14" si="5">(J13/K13)*D13/100</f>
        <v>7.5</v>
      </c>
      <c r="I13" s="11">
        <v>7.5</v>
      </c>
      <c r="J13" s="10">
        <f t="shared" ref="J13:J14" si="6">$D$8</f>
        <v>75</v>
      </c>
      <c r="K13" s="10">
        <v>1.0</v>
      </c>
      <c r="L13" s="10">
        <f t="shared" ref="L13:L14" si="7">$D$8*$E$1/100</f>
        <v>18.75</v>
      </c>
      <c r="M13" s="10">
        <f t="shared" ref="M13:M14" si="8">L13-I13</f>
        <v>11.25</v>
      </c>
    </row>
    <row r="14" ht="12.75" customHeight="1">
      <c r="A14" s="8">
        <v>2.0</v>
      </c>
      <c r="B14" s="9">
        <v>2.0</v>
      </c>
      <c r="C14" s="12" t="s">
        <v>16</v>
      </c>
      <c r="D14" s="10">
        <v>10.0</v>
      </c>
      <c r="E14" s="10">
        <v>3.0</v>
      </c>
      <c r="F14" s="10">
        <v>1.0</v>
      </c>
      <c r="G14" s="10">
        <v>1.0</v>
      </c>
      <c r="H14" s="10">
        <f t="shared" si="5"/>
        <v>7.5</v>
      </c>
      <c r="I14" s="11">
        <v>7.5</v>
      </c>
      <c r="J14" s="10">
        <f t="shared" si="6"/>
        <v>75</v>
      </c>
      <c r="K14" s="10">
        <v>1.0</v>
      </c>
      <c r="L14" s="10">
        <f t="shared" si="7"/>
        <v>18.75</v>
      </c>
      <c r="M14" s="10">
        <f t="shared" si="8"/>
        <v>11.25</v>
      </c>
    </row>
    <row r="15" ht="12.75" customHeight="1">
      <c r="A15" s="8">
        <v>2.0</v>
      </c>
      <c r="B15" s="9">
        <v>1.0</v>
      </c>
      <c r="C15" s="2" t="s">
        <v>15</v>
      </c>
      <c r="D15" s="10">
        <v>150.0</v>
      </c>
      <c r="E15" s="10">
        <v>0.0</v>
      </c>
      <c r="F15" s="10">
        <v>0.0</v>
      </c>
      <c r="G15" s="13">
        <v>1.0</v>
      </c>
      <c r="H15" s="10">
        <f t="shared" ref="H15:H16" si="9">D15</f>
        <v>150</v>
      </c>
      <c r="I15" s="14">
        <f t="shared" ref="I15:I16" si="10">H15*G15</f>
        <v>150</v>
      </c>
      <c r="J15" s="10">
        <f t="shared" ref="J15:J16" si="11">$D$8+I15</f>
        <v>225</v>
      </c>
      <c r="K15" s="16">
        <v>2.0</v>
      </c>
      <c r="L15" s="10">
        <f t="shared" ref="L15:L16" si="12">($D$8+$I$15)*$E$1/100</f>
        <v>56.25</v>
      </c>
      <c r="M15" s="10">
        <f t="shared" ref="M15:M16" si="13">L15-I13</f>
        <v>48.75</v>
      </c>
    </row>
    <row r="16" ht="12.75" customHeight="1">
      <c r="A16" s="8">
        <v>2.0</v>
      </c>
      <c r="B16" s="9">
        <v>2.0</v>
      </c>
      <c r="C16" s="2" t="s">
        <v>15</v>
      </c>
      <c r="D16" s="10">
        <v>150.0</v>
      </c>
      <c r="E16" s="10">
        <v>0.0</v>
      </c>
      <c r="F16" s="10">
        <v>0.0</v>
      </c>
      <c r="G16" s="13">
        <v>1.0</v>
      </c>
      <c r="H16" s="10">
        <f t="shared" si="9"/>
        <v>150</v>
      </c>
      <c r="I16" s="14">
        <f t="shared" si="10"/>
        <v>150</v>
      </c>
      <c r="J16" s="10">
        <f t="shared" si="11"/>
        <v>225</v>
      </c>
      <c r="K16" s="16">
        <v>2.0</v>
      </c>
      <c r="L16" s="10">
        <f t="shared" si="12"/>
        <v>56.25</v>
      </c>
      <c r="M16" s="10">
        <f t="shared" si="13"/>
        <v>48.75</v>
      </c>
    </row>
    <row r="17" ht="12.75" hidden="1" customHeight="1">
      <c r="A17" s="17">
        <v>1.0</v>
      </c>
      <c r="B17" s="9">
        <v>1.0</v>
      </c>
      <c r="C17" s="2" t="s">
        <v>15</v>
      </c>
      <c r="D17" s="10">
        <v>30.0</v>
      </c>
      <c r="E17" s="10">
        <v>0.0</v>
      </c>
      <c r="F17" s="10">
        <v>1.0</v>
      </c>
      <c r="G17" s="10">
        <v>1.0</v>
      </c>
      <c r="H17" s="10">
        <v>30.0</v>
      </c>
      <c r="I17" s="11">
        <v>30.0</v>
      </c>
      <c r="J17" s="10">
        <f>J11+(I17*G17)</f>
        <v>132</v>
      </c>
      <c r="K17" s="10">
        <v>3.0</v>
      </c>
      <c r="L17" s="10">
        <f t="shared" ref="L17:L18" si="14">J17*$E$1/100</f>
        <v>33</v>
      </c>
      <c r="M17" s="10">
        <f>L17-($I$12+$I$10)</f>
        <v>7.5</v>
      </c>
    </row>
    <row r="18" ht="12.75" hidden="1" customHeight="1">
      <c r="A18" s="17">
        <v>1.0</v>
      </c>
      <c r="B18" s="9">
        <v>1.0</v>
      </c>
      <c r="C18" s="12" t="s">
        <v>16</v>
      </c>
      <c r="D18" s="10">
        <v>35.0</v>
      </c>
      <c r="E18" s="10">
        <v>3.0</v>
      </c>
      <c r="F18" s="10">
        <v>1.0</v>
      </c>
      <c r="G18" s="10">
        <v>1.0</v>
      </c>
      <c r="H18" s="10">
        <f>D18*(J18/K18)/100</f>
        <v>15.4</v>
      </c>
      <c r="I18" s="11">
        <v>7.5</v>
      </c>
      <c r="J18" s="10">
        <f>$D$7+$I$11+$I$17</f>
        <v>132</v>
      </c>
      <c r="K18" s="10">
        <v>3.0</v>
      </c>
      <c r="L18" s="10">
        <f t="shared" si="14"/>
        <v>33</v>
      </c>
      <c r="M18" s="10">
        <f>L18-($I$12+$I$10+$I$18)</f>
        <v>0</v>
      </c>
    </row>
    <row r="19" ht="12.75" customHeight="1">
      <c r="A19" s="17">
        <v>2.0</v>
      </c>
      <c r="B19" s="9">
        <v>1.0</v>
      </c>
      <c r="C19" s="2" t="s">
        <v>15</v>
      </c>
      <c r="D19" s="10">
        <v>75.0</v>
      </c>
      <c r="E19" s="10">
        <v>0.0</v>
      </c>
      <c r="F19" s="10">
        <v>0.0</v>
      </c>
      <c r="G19" s="10">
        <v>1.0</v>
      </c>
      <c r="H19" s="10">
        <f t="shared" ref="H19:H20" si="15">D19</f>
        <v>75</v>
      </c>
      <c r="I19" s="14">
        <v>75.0</v>
      </c>
      <c r="J19" s="10">
        <f t="shared" ref="J19:J26" si="16">$I$19+$J$15</f>
        <v>300</v>
      </c>
      <c r="K19" s="16">
        <v>3.0</v>
      </c>
      <c r="L19" s="10">
        <f t="shared" ref="L19:L26" si="17">($D$8+$I$15+$I$19)*$E$1/100</f>
        <v>75</v>
      </c>
      <c r="M19" s="10">
        <f t="shared" ref="M19:M20" si="18">L19-($I$13)</f>
        <v>67.5</v>
      </c>
    </row>
    <row r="20" ht="12.75" customHeight="1">
      <c r="A20" s="17">
        <v>2.0</v>
      </c>
      <c r="B20" s="9">
        <v>2.0</v>
      </c>
      <c r="C20" s="2" t="s">
        <v>15</v>
      </c>
      <c r="D20" s="10">
        <v>75.0</v>
      </c>
      <c r="E20" s="10">
        <v>0.0</v>
      </c>
      <c r="F20" s="10">
        <v>0.0</v>
      </c>
      <c r="G20" s="10">
        <v>1.0</v>
      </c>
      <c r="H20" s="10">
        <f t="shared" si="15"/>
        <v>75</v>
      </c>
      <c r="I20" s="14">
        <v>75.0</v>
      </c>
      <c r="J20" s="10">
        <f t="shared" si="16"/>
        <v>300</v>
      </c>
      <c r="K20" s="16">
        <v>3.0</v>
      </c>
      <c r="L20" s="10">
        <f t="shared" si="17"/>
        <v>75</v>
      </c>
      <c r="M20" s="10">
        <f t="shared" si="18"/>
        <v>67.5</v>
      </c>
    </row>
    <row r="21" ht="12.75" customHeight="1">
      <c r="A21" s="17">
        <v>2.0</v>
      </c>
      <c r="B21" s="9">
        <v>1.0</v>
      </c>
      <c r="C21" s="12" t="s">
        <v>16</v>
      </c>
      <c r="D21" s="13">
        <v>50.0</v>
      </c>
      <c r="E21" s="10">
        <v>4.0</v>
      </c>
      <c r="F21" s="10">
        <v>1.0</v>
      </c>
      <c r="G21" s="10">
        <v>1.0</v>
      </c>
      <c r="H21" s="10">
        <f t="shared" ref="H21:H22" si="19">J21*D21/100</f>
        <v>150</v>
      </c>
      <c r="I21" s="16">
        <f t="shared" ref="I21:I22" si="20">150-82.5</f>
        <v>67.5</v>
      </c>
      <c r="J21" s="10">
        <f t="shared" si="16"/>
        <v>300</v>
      </c>
      <c r="K21" s="16">
        <v>3.0</v>
      </c>
      <c r="L21" s="10">
        <f t="shared" si="17"/>
        <v>75</v>
      </c>
      <c r="M21" s="10">
        <f t="shared" ref="M21:M24" si="21">L21-($I$13+$I$21)</f>
        <v>0</v>
      </c>
    </row>
    <row r="22" ht="12.75" customHeight="1">
      <c r="A22" s="17">
        <v>2.0</v>
      </c>
      <c r="B22" s="9">
        <v>2.0</v>
      </c>
      <c r="C22" s="12" t="s">
        <v>16</v>
      </c>
      <c r="D22" s="13">
        <v>50.0</v>
      </c>
      <c r="E22" s="10">
        <v>4.0</v>
      </c>
      <c r="F22" s="10">
        <v>1.0</v>
      </c>
      <c r="G22" s="10">
        <v>1.0</v>
      </c>
      <c r="H22" s="10">
        <f t="shared" si="19"/>
        <v>150</v>
      </c>
      <c r="I22" s="16">
        <f t="shared" si="20"/>
        <v>67.5</v>
      </c>
      <c r="J22" s="10">
        <f t="shared" si="16"/>
        <v>300</v>
      </c>
      <c r="K22" s="16">
        <v>3.0</v>
      </c>
      <c r="L22" s="10">
        <f t="shared" si="17"/>
        <v>75</v>
      </c>
      <c r="M22" s="10">
        <f t="shared" si="21"/>
        <v>0</v>
      </c>
    </row>
    <row r="23" ht="12.75" customHeight="1">
      <c r="A23" s="17">
        <v>2.0</v>
      </c>
      <c r="B23" s="9">
        <v>1.0</v>
      </c>
      <c r="C23" s="2" t="s">
        <v>15</v>
      </c>
      <c r="D23" s="10">
        <v>0.0</v>
      </c>
      <c r="E23" s="10">
        <v>0.0</v>
      </c>
      <c r="F23" s="10">
        <v>0.0</v>
      </c>
      <c r="G23" s="10">
        <v>1.0</v>
      </c>
      <c r="H23" s="10">
        <v>0.0</v>
      </c>
      <c r="I23" s="11">
        <v>0.0</v>
      </c>
      <c r="J23" s="10">
        <f t="shared" si="16"/>
        <v>300</v>
      </c>
      <c r="K23" s="16">
        <v>4.0</v>
      </c>
      <c r="L23" s="10">
        <f t="shared" si="17"/>
        <v>75</v>
      </c>
      <c r="M23" s="10">
        <f t="shared" si="21"/>
        <v>0</v>
      </c>
    </row>
    <row r="24" ht="12.75" customHeight="1">
      <c r="A24" s="17">
        <v>2.0</v>
      </c>
      <c r="B24" s="9">
        <v>2.0</v>
      </c>
      <c r="C24" s="2" t="s">
        <v>15</v>
      </c>
      <c r="D24" s="10">
        <v>0.0</v>
      </c>
      <c r="E24" s="10">
        <v>0.0</v>
      </c>
      <c r="F24" s="10">
        <v>0.0</v>
      </c>
      <c r="G24" s="10">
        <v>1.0</v>
      </c>
      <c r="H24" s="10">
        <v>0.0</v>
      </c>
      <c r="I24" s="11">
        <v>0.0</v>
      </c>
      <c r="J24" s="10">
        <f t="shared" si="16"/>
        <v>300</v>
      </c>
      <c r="K24" s="16">
        <v>4.0</v>
      </c>
      <c r="L24" s="10">
        <f t="shared" si="17"/>
        <v>75</v>
      </c>
      <c r="M24" s="10">
        <f t="shared" si="21"/>
        <v>0</v>
      </c>
    </row>
    <row r="25" ht="12.75" customHeight="1">
      <c r="A25" s="17">
        <v>2.0</v>
      </c>
      <c r="B25" s="9">
        <v>1.0</v>
      </c>
      <c r="C25" s="12" t="s">
        <v>16</v>
      </c>
      <c r="D25" s="10">
        <v>10.0</v>
      </c>
      <c r="E25" s="10">
        <v>3.0</v>
      </c>
      <c r="F25" s="10">
        <v>1.0</v>
      </c>
      <c r="G25" s="10">
        <v>1.0</v>
      </c>
      <c r="H25" s="10">
        <f t="shared" ref="H25:H26" si="22">(J25/K25)*D25/100</f>
        <v>7.5</v>
      </c>
      <c r="I25" s="15">
        <v>0.0</v>
      </c>
      <c r="J25" s="10">
        <f t="shared" si="16"/>
        <v>300</v>
      </c>
      <c r="K25" s="16">
        <v>4.0</v>
      </c>
      <c r="L25" s="10">
        <f t="shared" si="17"/>
        <v>75</v>
      </c>
      <c r="M25" s="10">
        <f t="shared" ref="M25:M26" si="23">L25-($I$13+$I$21+$I$25)</f>
        <v>0</v>
      </c>
    </row>
    <row r="26" ht="12.75" customHeight="1">
      <c r="A26" s="17">
        <v>2.0</v>
      </c>
      <c r="B26" s="9">
        <v>2.0</v>
      </c>
      <c r="C26" s="12" t="s">
        <v>16</v>
      </c>
      <c r="D26" s="10">
        <v>10.0</v>
      </c>
      <c r="E26" s="10">
        <v>3.0</v>
      </c>
      <c r="F26" s="10">
        <v>1.0</v>
      </c>
      <c r="G26" s="10">
        <v>1.0</v>
      </c>
      <c r="H26" s="10">
        <f t="shared" si="22"/>
        <v>7.5</v>
      </c>
      <c r="I26" s="15">
        <v>0.0</v>
      </c>
      <c r="J26" s="10">
        <f t="shared" si="16"/>
        <v>300</v>
      </c>
      <c r="K26" s="16">
        <v>4.0</v>
      </c>
      <c r="L26" s="10">
        <f t="shared" si="17"/>
        <v>75</v>
      </c>
      <c r="M26" s="10">
        <f t="shared" si="23"/>
        <v>0</v>
      </c>
    </row>
    <row r="27" ht="12.75" hidden="1" customHeight="1">
      <c r="A27" s="17">
        <v>1.0</v>
      </c>
      <c r="B27" s="9">
        <v>1.0</v>
      </c>
      <c r="C27" s="2" t="s">
        <v>15</v>
      </c>
      <c r="D27" s="10">
        <v>100.0</v>
      </c>
      <c r="E27" s="10">
        <v>0.0</v>
      </c>
      <c r="F27" s="10">
        <v>0.0</v>
      </c>
      <c r="G27" s="10">
        <v>1.0</v>
      </c>
      <c r="H27" s="10">
        <v>100.0</v>
      </c>
      <c r="I27" s="11">
        <v>100.0</v>
      </c>
      <c r="J27" s="10">
        <f>J18+I27</f>
        <v>232</v>
      </c>
      <c r="K27" s="10">
        <v>4.0</v>
      </c>
      <c r="L27" s="10">
        <f>(J27+$I$27)*$E$1/100</f>
        <v>83</v>
      </c>
      <c r="M27" s="10">
        <f>L27-($I$12+$I$10+$I$18)</f>
        <v>50</v>
      </c>
    </row>
    <row r="28" ht="12.75" customHeight="1">
      <c r="A28" s="18"/>
      <c r="B28" s="18"/>
      <c r="C28" s="2"/>
      <c r="I28" s="3"/>
    </row>
    <row r="29" ht="12.75" customHeight="1">
      <c r="B29" s="18"/>
      <c r="I29" s="3"/>
    </row>
    <row r="30" ht="12.75" customHeight="1">
      <c r="A30" s="19" t="s">
        <v>17</v>
      </c>
      <c r="B30" s="20">
        <v>160.45</v>
      </c>
      <c r="I30" s="3"/>
    </row>
    <row r="31" ht="12.75" customHeight="1">
      <c r="A31" s="19" t="s">
        <v>18</v>
      </c>
      <c r="B31" s="21">
        <f>J16+J12</f>
        <v>327</v>
      </c>
      <c r="C31" s="2"/>
      <c r="D31" s="21">
        <f>J16</f>
        <v>225</v>
      </c>
      <c r="I31" s="3"/>
    </row>
    <row r="32" ht="12.75" customHeight="1">
      <c r="A32" s="19" t="s">
        <v>19</v>
      </c>
      <c r="B32" s="21">
        <f>I10+I12+I13</f>
        <v>33</v>
      </c>
      <c r="C32" s="2"/>
      <c r="D32" s="21">
        <f>I14</f>
        <v>7.5</v>
      </c>
      <c r="I32" s="3"/>
    </row>
    <row r="33" ht="12.75" customHeight="1">
      <c r="A33" s="19" t="s">
        <v>20</v>
      </c>
      <c r="B33" s="21">
        <f>B30+B31+B32</f>
        <v>520.45</v>
      </c>
      <c r="D33" s="21">
        <f>D30+D31+D32</f>
        <v>232.5</v>
      </c>
      <c r="I33" s="3"/>
    </row>
    <row r="34" ht="12.75" customHeight="1">
      <c r="B34" s="18"/>
      <c r="I34" s="3"/>
    </row>
    <row r="35" ht="12.75" customHeight="1">
      <c r="C35" s="2"/>
      <c r="I35" s="3"/>
    </row>
    <row r="36" ht="12.75" customHeight="1">
      <c r="A36" s="22" t="s">
        <v>17</v>
      </c>
      <c r="B36" s="23">
        <v>160.45</v>
      </c>
      <c r="C36" s="2"/>
      <c r="I36" s="3"/>
    </row>
    <row r="37" ht="12.75" customHeight="1">
      <c r="A37" s="22" t="s">
        <v>18</v>
      </c>
      <c r="B37" s="24">
        <f>J27+J26</f>
        <v>532</v>
      </c>
      <c r="D37" s="24">
        <f>J25</f>
        <v>300</v>
      </c>
      <c r="I37" s="3"/>
    </row>
    <row r="38" ht="12.75" customHeight="1">
      <c r="A38" s="22" t="s">
        <v>19</v>
      </c>
      <c r="B38" s="24">
        <f>(I10+I12+I18)+(I13+I21+I25)</f>
        <v>108</v>
      </c>
      <c r="D38" s="24">
        <f>I14+I22+I26</f>
        <v>75</v>
      </c>
      <c r="I38" s="3"/>
    </row>
    <row r="39" ht="12.75" customHeight="1">
      <c r="A39" s="22" t="s">
        <v>20</v>
      </c>
      <c r="B39" s="24">
        <f>B36+B37+B38</f>
        <v>800.45</v>
      </c>
      <c r="D39" s="24">
        <f>D36+D37+D38</f>
        <v>375</v>
      </c>
      <c r="I39" s="3"/>
    </row>
    <row r="40" ht="12.75" customHeight="1">
      <c r="I40" s="3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DropDown="1" showErrorMessage="1" sqref="C7:C27">
      <formula1>"close,open"</formula1>
    </dataValidation>
    <dataValidation type="custom" allowBlank="1" showDropDown="1" sqref="A7:B27 D7:M27">
      <formula1>AND(ISNUMBER(A7),(NOT(OR(NOT(ISERROR(DATEVALUE(A7))), AND(ISNUMBER(A7), LEFT(CELL("format", A7))="D")))))</formula1>
    </dataValidation>
  </dataValidations>
  <printOptions/>
  <pageMargins bottom="0.7875" footer="0.0" header="0.0" left="0.7875" right="0.7875" top="0.7875"/>
  <pageSetup paperSize="9" orientation="portrait"/>
  <drawing r:id="rId1"/>
  <tableParts count="1">
    <tablePart r:id="rId3"/>
  </tableParts>
</worksheet>
</file>